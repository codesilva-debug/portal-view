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GRAFICOS" sheetId="2" r:id="rId6"/>
    <sheet state="visible" name="VIVÊNCIAS" sheetId="3" r:id="rId7"/>
  </sheets>
  <definedNames/>
  <calcPr/>
</workbook>
</file>

<file path=xl/sharedStrings.xml><?xml version="1.0" encoding="utf-8"?>
<sst xmlns="http://schemas.openxmlformats.org/spreadsheetml/2006/main" count="53" uniqueCount="27">
  <si>
    <t>Cargo</t>
  </si>
  <si>
    <t>Vagas</t>
  </si>
  <si>
    <t>Vivências</t>
  </si>
  <si>
    <t>Aprovados</t>
  </si>
  <si>
    <t>Função</t>
  </si>
  <si>
    <t>Conversão</t>
  </si>
  <si>
    <t>Vivências/Vaga</t>
  </si>
  <si>
    <t>ESTAGIÁRIA BERÇ</t>
  </si>
  <si>
    <t>ESTAGIÁRIA JARD</t>
  </si>
  <si>
    <t>ESTAGIÁRIA MAT I</t>
  </si>
  <si>
    <t>INSPETOR DE ALUNOS</t>
  </si>
  <si>
    <t>ESTAGIÁRIA MATII</t>
  </si>
  <si>
    <t>TOTAL VAGAS</t>
  </si>
  <si>
    <t>MAIOR DEMANDA</t>
  </si>
  <si>
    <t>ESTAGIÁRIA MINI</t>
  </si>
  <si>
    <t>ESTAGIÁRIA PRÉ</t>
  </si>
  <si>
    <t>DADOS RECRUTAMENTO</t>
  </si>
  <si>
    <t>TOTAL</t>
  </si>
  <si>
    <t>Unidade</t>
  </si>
  <si>
    <t>Enviados</t>
  </si>
  <si>
    <t>Reprovados</t>
  </si>
  <si>
    <t>Desistentes</t>
  </si>
  <si>
    <t>Não Compareceu</t>
  </si>
  <si>
    <t>Desistiu Integração</t>
  </si>
  <si>
    <t>Reprovado Integração</t>
  </si>
  <si>
    <t>Portal do Morumbi</t>
  </si>
  <si>
    <t>Total Vagas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</si>
</sst>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,00%"/>
  </numFmts>
  <fonts count="17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1.0"/>
      <color rgb="FFFF0000"/>
      <name val="Arial"/>
    </font>
    <font>
      <b/>
      <color theme="1"/>
      <name val="Arial"/>
      <scheme val="minor"/>
    </font>
    <font>
      <b/>
      <i/>
      <sz val="15.0"/>
      <color rgb="FF00FFFF"/>
      <name val="Arial"/>
      <scheme val="minor"/>
    </font>
    <font>
      <b/>
      <i/>
      <sz val="19.0"/>
      <color rgb="FF00FFFF"/>
      <name val="Arial"/>
      <scheme val="minor"/>
    </font>
    <font>
      <b/>
      <i/>
      <sz val="19.0"/>
      <color rgb="FFFFFFFF"/>
      <name val="Arial"/>
      <scheme val="minor"/>
    </font>
    <font>
      <color rgb="FFFFFFFF"/>
      <name val="Arial"/>
      <scheme val="minor"/>
    </font>
    <font>
      <b/>
      <sz val="16.0"/>
      <color rgb="FFFF0000"/>
      <name val="Arial"/>
      <scheme val="minor"/>
    </font>
    <font>
      <b/>
      <sz val="22.0"/>
      <color rgb="FF000000"/>
      <name val="Arial"/>
      <scheme val="minor"/>
    </font>
    <font/>
    <font>
      <color rgb="FFFF0000"/>
      <name val="Arial"/>
      <scheme val="minor"/>
    </font>
    <font>
      <b/>
      <sz val="15.0"/>
      <color rgb="FFFF0000"/>
      <name val="Arial"/>
      <scheme val="minor"/>
    </font>
    <font>
      <b/>
      <sz val="15.0"/>
      <color rgb="FFFFFF00"/>
      <name val="Arial"/>
      <scheme val="minor"/>
    </font>
    <font>
      <b/>
      <i/>
      <sz val="13.0"/>
      <color rgb="FF000000"/>
      <name val="Arial"/>
      <scheme val="minor"/>
    </font>
    <font>
      <b/>
      <sz val="12.0"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8">
    <border/>
    <border>
      <left style="thick">
        <color rgb="FF274E13"/>
      </left>
      <top style="thick">
        <color rgb="FF274E13"/>
      </top>
    </border>
    <border>
      <right style="thick">
        <color rgb="FF274E13"/>
      </right>
      <top style="thick">
        <color rgb="FF274E13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274E13"/>
      </left>
      <right style="thick">
        <color rgb="FF274E13"/>
      </right>
      <top style="thick">
        <color rgb="FF274E13"/>
      </top>
      <bottom style="thick">
        <color rgb="FF274E1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horizontal="center"/>
    </xf>
    <xf borderId="1" fillId="4" fontId="6" numFmtId="0" xfId="0" applyAlignment="1" applyBorder="1" applyFill="1" applyFont="1">
      <alignment horizontal="center" readingOrder="0"/>
    </xf>
    <xf borderId="2" fillId="5" fontId="7" numFmtId="0" xfId="0" applyAlignment="1" applyBorder="1" applyFill="1" applyFont="1">
      <alignment horizontal="center" readingOrder="0"/>
    </xf>
    <xf borderId="0" fillId="5" fontId="8" numFmtId="0" xfId="0" applyFill="1" applyFont="1"/>
    <xf borderId="0" fillId="5" fontId="2" numFmtId="0" xfId="0" applyFill="1" applyFont="1"/>
    <xf borderId="0" fillId="5" fontId="9" numFmtId="0" xfId="0" applyAlignment="1" applyFill="1" applyFont="1">
      <alignment horizontal="center"/>
    </xf>
    <xf borderId="3" fillId="6" fontId="10" numFmtId="0" xfId="0" applyAlignment="1" applyBorder="1" applyFill="1" applyFont="1">
      <alignment horizontal="center"/>
    </xf>
    <xf borderId="4" fillId="0" fontId="11" numFmtId="0" xfId="0" applyBorder="1" applyFont="1"/>
    <xf borderId="0" fillId="5" fontId="12" numFmtId="0" xfId="0" applyFill="1" applyFont="1"/>
    <xf borderId="5" fillId="5" fontId="13" numFmtId="0" xfId="0" applyBorder="1" applyFill="1" applyFont="1"/>
    <xf borderId="6" fillId="5" fontId="14" numFmtId="0" xfId="0" applyBorder="1" applyFill="1" applyFont="1"/>
    <xf borderId="1" fillId="7" fontId="15" numFmtId="0" xfId="0" applyAlignment="1" applyBorder="1" applyFill="1" applyFont="1">
      <alignment horizontal="center" readingOrder="0"/>
    </xf>
    <xf borderId="7" fillId="7" fontId="15" numFmtId="0" xfId="0" applyAlignment="1" applyBorder="1" applyFill="1" applyFont="1">
      <alignment horizontal="center"/>
    </xf>
    <xf borderId="0" fillId="5" fontId="16" numFmtId="0" xfId="0" applyAlignment="1" applyFill="1" applyFont="1">
      <alignment horizontal="center"/>
    </xf>
    <xf borderId="0" fillId="5" fontId="3" numFmtId="0" xfId="0" applyFill="1" applyFont="1"/>
    <xf borderId="7" fillId="5" fontId="16" numFmtId="14" xfId="0" applyAlignment="1" applyBorder="1" applyFill="1" applyFont="1" applyNumberFormat="1">
      <alignment horizontal="center"/>
    </xf>
    <xf borderId="7" fillId="5" fontId="16" numFmtId="0" xfId="0" applyAlignment="1" applyBorder="1" applyFill="1" applyFont="1">
      <alignment horizontal="center"/>
    </xf>
    <xf borderId="0" fillId="5" fontId="1" numFmtId="0" xfId="0" applyFill="1" applyFont="1"/>
    <xf borderId="0" fillId="0" fontId="1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Vagas por Função - Portal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DASHBOARD!$A$1:$A$8</c:f>
            </c:strRef>
          </c:cat>
          <c:val>
            <c:numRef>
              <c:f>DASHBOARD!$B$1:$B$8</c:f>
              <c:numCache/>
            </c:numRef>
          </c:val>
        </c:ser>
        <c:axId val="337767339"/>
        <c:axId val="1963024093"/>
      </c:barChart>
      <c:catAx>
        <c:axId val="3377673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3024093"/>
      </c:catAx>
      <c:valAx>
        <c:axId val="19630240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7673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de Vagas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DASHBOARD!$L$1:$L$8</c:f>
            </c:strRef>
          </c:cat>
          <c:val>
            <c:numRef>
              <c:f>DASHBOARD!$M$1:$M$8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FFFFFF"/>
                </a:solidFill>
                <a:latin typeface="+mn-lt"/>
              </a:defRPr>
            </a:pPr>
            <a:r>
              <a:rPr b="1" sz="2000">
                <a:solidFill>
                  <a:srgbClr val="FFFFFF"/>
                </a:solidFill>
                <a:latin typeface="+mn-lt"/>
              </a:rPr>
              <a:t>Distribuição de Vagas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FFF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DASHBOARD!$L$1:$L$15</c:f>
            </c:strRef>
          </c:cat>
          <c:val>
            <c:numRef>
              <c:f>DASHBOARD!$M$1:$M$15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Vagas e Vivências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'VIVÊNCIAS'!$B$1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'VIVÊNCIAS'!$A$2:$A$15</c:f>
            </c:strRef>
          </c:cat>
          <c:val>
            <c:numRef>
              <c:f>'VIVÊNCIAS'!$B$2:$B$15</c:f>
              <c:numCache/>
            </c:numRef>
          </c:val>
        </c:ser>
        <c:ser>
          <c:idx val="1"/>
          <c:order val="1"/>
          <c:tx>
            <c:strRef>
              <c:f>'VIVÊNCIAS'!$C$1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'VIVÊNCIAS'!$A$2:$A$15</c:f>
            </c:strRef>
          </c:cat>
          <c:val>
            <c:numRef>
              <c:f>'VIVÊNCIAS'!$C$2:$C$15</c:f>
              <c:numCache/>
            </c:numRef>
          </c:val>
        </c:ser>
        <c:axId val="1396361893"/>
        <c:axId val="595753300"/>
      </c:bar3DChart>
      <c:catAx>
        <c:axId val="13963618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Cargo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FFFFFF"/>
                </a:solidFill>
                <a:latin typeface="+mn-lt"/>
              </a:defRPr>
            </a:pPr>
          </a:p>
        </c:txPr>
        <c:crossAx val="595753300"/>
      </c:catAx>
      <c:valAx>
        <c:axId val="5957533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96361893"/>
        <c:crosses val="max"/>
      </c:valAx>
    </c:plotArea>
    <c:legend>
      <c:legendPos val="b"/>
      <c:overlay val="0"/>
      <c:txPr>
        <a:bodyPr/>
        <a:lstStyle/>
        <a:p>
          <a:pPr lvl="0">
            <a:defRPr b="1" sz="1200">
              <a:solidFill>
                <a:srgbClr val="FFFF00"/>
              </a:solidFill>
              <a:latin typeface="Arial"/>
            </a:defRPr>
          </a:pPr>
        </a:p>
      </c:txPr>
    </c:legend>
    <c:plotVisOnly val="1"/>
  </c:chart>
  <c:spPr>
    <a:solidFill>
      <a:srgbClr val="000000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Vagas e Vivências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'VIVÊNCIAS'!$B$1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'VIVÊNCIAS'!$A$2:$A$9</c:f>
            </c:strRef>
          </c:cat>
          <c:val>
            <c:numRef>
              <c:f>'VIVÊNCIAS'!$B$2:$B$9</c:f>
              <c:numCache/>
            </c:numRef>
          </c:val>
        </c:ser>
        <c:ser>
          <c:idx val="1"/>
          <c:order val="1"/>
          <c:tx>
            <c:strRef>
              <c:f>'VIVÊNCIAS'!$C$1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'VIVÊNCIAS'!$A$2:$A$9</c:f>
            </c:strRef>
          </c:cat>
          <c:val>
            <c:numRef>
              <c:f>'VIVÊNCIAS'!$C$2:$C$9</c:f>
              <c:numCache/>
            </c:numRef>
          </c:val>
        </c:ser>
        <c:overlap val="100"/>
        <c:axId val="583560934"/>
        <c:axId val="56810882"/>
      </c:barChart>
      <c:catAx>
        <c:axId val="5835609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Cargo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10882"/>
      </c:catAx>
      <c:valAx>
        <c:axId val="568108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5609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17</xdr:row>
      <xdr:rowOff>0</xdr:rowOff>
    </xdr:from>
    <xdr:ext cx="5715000" cy="3533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</xdr:rowOff>
    </xdr:from>
    <xdr:ext cx="6181725" cy="3829050"/>
    <xdr:pic>
      <xdr:nvPicPr>
        <xdr:cNvPr id="141313504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2</xdr:row>
      <xdr:rowOff>19050</xdr:rowOff>
    </xdr:from>
    <xdr:ext cx="6000750" cy="37052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</xdr:colOff>
      <xdr:row>23</xdr:row>
      <xdr:rowOff>19050</xdr:rowOff>
    </xdr:from>
    <xdr:ext cx="8782050" cy="48006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104775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0"/>
    <col customWidth="1" min="3" max="3" width="16.25"/>
    <col customWidth="1" min="4" max="4" width="0.38"/>
    <col customWidth="1" min="5" max="5" width="26.88"/>
    <col customWidth="1" min="7" max="7" width="19.75"/>
    <col customWidth="1" min="8" max="8" width="19.5"/>
    <col customWidth="1" min="9" max="9" width="15.75"/>
    <col customWidth="1" min="10" max="10" width="19.88"/>
    <col customWidth="1" min="11" max="11" width="22.75"/>
    <col customWidth="1" min="12" max="12" width="24.0"/>
  </cols>
  <sheetData>
    <row r="1">
      <c r="A1" s="2" t="s">
        <v>4</v>
      </c>
      <c r="B1" s="2" t="s">
        <v>1</v>
      </c>
      <c r="C1" s="4"/>
      <c r="H1" s="4"/>
      <c r="I1" s="4"/>
      <c r="L1" s="2" t="s">
        <v>4</v>
      </c>
      <c r="M1" s="2" t="s">
        <v>1</v>
      </c>
    </row>
    <row r="2">
      <c r="A2" s="2" t="s">
        <v>10</v>
      </c>
      <c r="B2" s="2">
        <v>5.0</v>
      </c>
      <c r="C2" s="4"/>
      <c r="D2" s="2" t="s">
        <v>12</v>
      </c>
      <c r="E2" s="4"/>
      <c r="F2" s="2" t="s">
        <v>13</v>
      </c>
      <c r="G2" s="4"/>
      <c r="H2" s="4"/>
      <c r="L2" s="2" t="s">
        <v>10</v>
      </c>
      <c r="M2" s="6">
        <v>5.0</v>
      </c>
    </row>
    <row r="3">
      <c r="A3" s="2" t="s">
        <v>11</v>
      </c>
      <c r="B3" s="2">
        <v>4.0</v>
      </c>
      <c r="C3" s="4"/>
      <c r="D3" s="6">
        <v>20.0</v>
      </c>
      <c r="F3" s="2" t="s">
        <v>10</v>
      </c>
      <c r="G3" s="4"/>
      <c r="H3" s="4"/>
      <c r="L3" s="2" t="s">
        <v>11</v>
      </c>
      <c r="M3" s="6">
        <v>4.0</v>
      </c>
    </row>
    <row r="4">
      <c r="A4" s="2" t="s">
        <v>9</v>
      </c>
      <c r="B4" s="2">
        <v>3.0</v>
      </c>
      <c r="C4" s="4"/>
      <c r="H4" s="4"/>
      <c r="L4" s="2" t="s">
        <v>9</v>
      </c>
      <c r="M4" s="6">
        <v>3.0</v>
      </c>
    </row>
    <row r="5">
      <c r="A5" s="2" t="s">
        <v>8</v>
      </c>
      <c r="B5" s="2">
        <v>3.0</v>
      </c>
      <c r="C5" s="4"/>
      <c r="H5" s="4"/>
      <c r="L5" s="2" t="s">
        <v>8</v>
      </c>
      <c r="M5" s="6">
        <v>3.0</v>
      </c>
    </row>
    <row r="6">
      <c r="A6" s="2" t="s">
        <v>7</v>
      </c>
      <c r="B6" s="2">
        <v>2.0</v>
      </c>
      <c r="C6" s="4"/>
      <c r="H6" s="4"/>
      <c r="L6" s="2" t="s">
        <v>7</v>
      </c>
      <c r="M6" s="6">
        <v>2.0</v>
      </c>
    </row>
    <row r="7">
      <c r="A7" s="2" t="s">
        <v>14</v>
      </c>
      <c r="B7" s="2">
        <v>2.0</v>
      </c>
      <c r="C7" s="4"/>
      <c r="H7" s="4"/>
      <c r="L7" s="2" t="s">
        <v>14</v>
      </c>
      <c r="M7" s="6">
        <v>2.0</v>
      </c>
    </row>
    <row r="8">
      <c r="A8" s="2" t="s">
        <v>15</v>
      </c>
      <c r="B8" s="2">
        <v>1.0</v>
      </c>
      <c r="D8" s="2" t="s">
        <v>16</v>
      </c>
      <c r="E8" s="4"/>
      <c r="H8" s="4"/>
      <c r="L8" s="2" t="s">
        <v>15</v>
      </c>
      <c r="M8" s="6">
        <v>1.0</v>
      </c>
    </row>
    <row r="9">
      <c r="A9" s="8" t="s">
        <v>17</v>
      </c>
      <c r="B9" s="8">
        <v>20.0</v>
      </c>
      <c r="D9" s="2" t="s">
        <v>18</v>
      </c>
      <c r="E9" s="2" t="s">
        <v>19</v>
      </c>
      <c r="F9" s="2" t="s">
        <v>3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4"/>
    </row>
    <row r="10">
      <c r="D10" s="2" t="s">
        <v>25</v>
      </c>
      <c r="E10" s="2">
        <v>31.0</v>
      </c>
      <c r="F10" s="2">
        <v>19.0</v>
      </c>
      <c r="G10" s="6">
        <v>6.0</v>
      </c>
      <c r="H10" s="6">
        <v>1.0</v>
      </c>
      <c r="I10" s="6">
        <v>4.0</v>
      </c>
      <c r="J10" s="6">
        <v>1.0</v>
      </c>
      <c r="K10" s="6">
        <v>0.0</v>
      </c>
    </row>
    <row r="17">
      <c r="A1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2.63"/>
    <col customWidth="1" min="3" max="3" width="19.38"/>
    <col customWidth="1" min="4" max="4" width="15.5"/>
    <col customWidth="1" min="5" max="5" width="24.25"/>
    <col customWidth="1" min="6" max="6" width="24.13"/>
    <col customWidth="1" min="7" max="7" width="27.38"/>
    <col customWidth="1" min="8" max="8" width="36.63"/>
    <col customWidth="1" min="9" max="9" width="0.38"/>
  </cols>
  <sheetData>
    <row r="1">
      <c r="A1" s="9" t="str">
        <f t="array" ref="A1:G2">DASHBOARD!E9:K10</f>
        <v>Enviados</v>
      </c>
      <c r="B1" s="9" t="s">
        <v>3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10" t="s">
        <v>26</v>
      </c>
      <c r="I1" s="11"/>
      <c r="J1" s="12"/>
      <c r="K1" s="12"/>
      <c r="L1" s="12"/>
      <c r="M1" s="13"/>
      <c r="N1" s="13"/>
      <c r="O1" s="13"/>
      <c r="P1" s="13"/>
      <c r="Q1" s="13"/>
      <c r="R1" s="13"/>
      <c r="S1" s="13"/>
    </row>
    <row r="2">
      <c r="A2" s="14">
        <v>31.0</v>
      </c>
      <c r="B2" s="14">
        <v>19.0</v>
      </c>
      <c r="C2" s="14">
        <v>6.0</v>
      </c>
      <c r="D2" s="14">
        <v>1.0</v>
      </c>
      <c r="E2" s="14">
        <v>4.0</v>
      </c>
      <c r="F2" s="14">
        <v>1.0</v>
      </c>
      <c r="G2" s="14">
        <v>0.0</v>
      </c>
      <c r="H2" s="15">
        <f>VLOOKUP("TOTAL", DASHBOARD!A:B, 2, FALSE)</f>
        <v>20</v>
      </c>
      <c r="I2" s="16"/>
      <c r="J2" s="12"/>
      <c r="K2" s="12"/>
      <c r="L2" s="12"/>
      <c r="M2" s="13"/>
      <c r="N2" s="13"/>
      <c r="O2" s="13"/>
      <c r="P2" s="13"/>
      <c r="Q2" s="13"/>
      <c r="R2" s="13"/>
      <c r="S2" s="13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  <c r="Q3" s="13"/>
      <c r="R3" s="13"/>
      <c r="S3" s="13"/>
    </row>
    <row r="4">
      <c r="A4" s="13"/>
      <c r="B4" s="13"/>
      <c r="C4" s="13"/>
      <c r="D4" s="13"/>
      <c r="E4" s="13"/>
      <c r="F4" s="13"/>
      <c r="G4" s="13"/>
      <c r="H4" s="12"/>
      <c r="I4" s="12"/>
      <c r="J4" s="12"/>
      <c r="K4" s="12"/>
      <c r="L4" s="13"/>
      <c r="M4" s="13"/>
      <c r="N4" s="13"/>
      <c r="O4" s="13"/>
      <c r="P4" s="13"/>
      <c r="Q4" s="13"/>
      <c r="R4" s="13"/>
      <c r="S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>
      <c r="A16" s="13"/>
      <c r="B16" s="13"/>
      <c r="C16" s="13"/>
      <c r="D16" s="13"/>
      <c r="E16" s="13"/>
      <c r="F16" s="13"/>
      <c r="G16" s="13"/>
      <c r="H16" s="13"/>
      <c r="I16" s="17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>
      <c r="A22" s="13"/>
      <c r="B22" s="13"/>
      <c r="C22" s="13"/>
      <c r="D22" s="13"/>
      <c r="E22" s="13"/>
      <c r="F22" s="13"/>
      <c r="G22" s="13"/>
      <c r="H22" s="18" t="str">
        <f t="array" ref="H22:H23">DASHBOARD!F2:F3</f>
        <v>MAIOR DEMANDA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>
      <c r="A23" s="13"/>
      <c r="B23" s="13"/>
      <c r="C23" s="13"/>
      <c r="D23" s="13"/>
      <c r="E23" s="13"/>
      <c r="F23" s="13"/>
      <c r="G23" s="13"/>
      <c r="H23" s="19" t="s">
        <v>10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>
      <c r="A24" s="20" t="str">
        <f>IFERROR(__xludf.DUMMYFUNCTION("QUERY(IMPORTRANGE(""17ZoXL-enZbUmpXgCroT7qkocvsbHYLPVu_cp0ACBpn0"", ""VALIDAÇÃO VAGAS JUL/DEZ!b1:i900""), ""SELECT Col2, Col1, Col4, Col7, Col8 WHERE Col3 = 'Portal do Morumbi' AND Col8 &lt;&gt; 'Cancelada'"", 1)
"),"Data de abertura:")</f>
        <v>Data de abertura:</v>
      </c>
      <c r="B24" s="21" t="str">
        <f>IFERROR(__xludf.DUMMYFUNCTION("""COMPUTED_VALUE"""),"Função  / Cargo:")</f>
        <v>Função  / Cargo:</v>
      </c>
      <c r="C24" s="21" t="str">
        <f>IFERROR(__xludf.DUMMYFUNCTION("""COMPUTED_VALUE"""),"Horário da vaga:")</f>
        <v>Horário da vaga:</v>
      </c>
      <c r="D24" s="21" t="str">
        <f>IFERROR(__xludf.DUMMYFUNCTION("""COMPUTED_VALUE"""),"Mês:")</f>
        <v>Mês:</v>
      </c>
      <c r="E24" s="21" t="str">
        <f>IFERROR(__xludf.DUMMYFUNCTION("""COMPUTED_VALUE"""),"Status")</f>
        <v>Status</v>
      </c>
      <c r="F24" s="22"/>
      <c r="G24" s="2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>
      <c r="A25" s="24">
        <f>IFERROR(__xludf.DUMMYFUNCTION("""COMPUTED_VALUE"""),46036.0)</f>
        <v>46036</v>
      </c>
      <c r="B25" s="25" t="str">
        <f>IFERROR(__xludf.DUMMYFUNCTION("""COMPUTED_VALUE"""),"ESTAGIÁRIA MAT I")</f>
        <v>ESTAGIÁRIA MAT I</v>
      </c>
      <c r="C25" s="25" t="str">
        <f>IFERROR(__xludf.DUMMYFUNCTION("""COMPUTED_VALUE"""),"13:00 ÀS 19:00")</f>
        <v>13:00 ÀS 19:00</v>
      </c>
      <c r="D25" s="25">
        <f>IFERROR(__xludf.DUMMYFUNCTION("""COMPUTED_VALUE"""),1.0)</f>
        <v>1</v>
      </c>
      <c r="E25" s="25" t="str">
        <f>IFERROR(__xludf.DUMMYFUNCTION("""COMPUTED_VALUE"""),"Aprovado")</f>
        <v>Aprovado</v>
      </c>
      <c r="F25" s="22"/>
      <c r="G25" s="23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>
      <c r="A26" s="24">
        <f>IFERROR(__xludf.DUMMYFUNCTION("""COMPUTED_VALUE"""),46038.0)</f>
        <v>46038</v>
      </c>
      <c r="B26" s="25" t="str">
        <f>IFERROR(__xludf.DUMMYFUNCTION("""COMPUTED_VALUE"""),"ESTAGIÁRIA JARD")</f>
        <v>ESTAGIÁRIA JARD</v>
      </c>
      <c r="C26" s="25" t="str">
        <f>IFERROR(__xludf.DUMMYFUNCTION("""COMPUTED_VALUE"""),"12:00 ÀS 18:00")</f>
        <v>12:00 ÀS 18:00</v>
      </c>
      <c r="D26" s="25">
        <f>IFERROR(__xludf.DUMMYFUNCTION("""COMPUTED_VALUE"""),1.0)</f>
        <v>1</v>
      </c>
      <c r="E26" s="25" t="str">
        <f>IFERROR(__xludf.DUMMYFUNCTION("""COMPUTED_VALUE"""),"Aprovado")</f>
        <v>Aprovado</v>
      </c>
      <c r="F26" s="22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>
      <c r="A27" s="24">
        <f>IFERROR(__xludf.DUMMYFUNCTION("""COMPUTED_VALUE"""),46038.0)</f>
        <v>46038</v>
      </c>
      <c r="B27" s="25" t="str">
        <f>IFERROR(__xludf.DUMMYFUNCTION("""COMPUTED_VALUE"""),"ESTAGIÁRIA BERÇ")</f>
        <v>ESTAGIÁRIA BERÇ</v>
      </c>
      <c r="C27" s="25" t="str">
        <f>IFERROR(__xludf.DUMMYFUNCTION("""COMPUTED_VALUE"""),"10:30 ÀS 17:30")</f>
        <v>10:30 ÀS 17:30</v>
      </c>
      <c r="D27" s="25">
        <f>IFERROR(__xludf.DUMMYFUNCTION("""COMPUTED_VALUE"""),1.0)</f>
        <v>1</v>
      </c>
      <c r="E27" s="25" t="str">
        <f>IFERROR(__xludf.DUMMYFUNCTION("""COMPUTED_VALUE"""),"Aprovado")</f>
        <v>Aprovado</v>
      </c>
      <c r="F27" s="22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>
      <c r="A28" s="24">
        <f>IFERROR(__xludf.DUMMYFUNCTION("""COMPUTED_VALUE"""),46044.0)</f>
        <v>46044</v>
      </c>
      <c r="B28" s="25" t="str">
        <f>IFERROR(__xludf.DUMMYFUNCTION("""COMPUTED_VALUE"""),"INSPETOR DE ALUNOS")</f>
        <v>INSPETOR DE ALUNOS</v>
      </c>
      <c r="C28" s="25" t="str">
        <f>IFERROR(__xludf.DUMMYFUNCTION("""COMPUTED_VALUE"""),"9:30 ÀS 19:30")</f>
        <v>9:30 ÀS 19:30</v>
      </c>
      <c r="D28" s="25">
        <f>IFERROR(__xludf.DUMMYFUNCTION("""COMPUTED_VALUE"""),1.0)</f>
        <v>1</v>
      </c>
      <c r="E28" s="25" t="str">
        <f>IFERROR(__xludf.DUMMYFUNCTION("""COMPUTED_VALUE"""),"Aprovado")</f>
        <v>Aprovado</v>
      </c>
      <c r="F28" s="22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24">
        <f>IFERROR(__xludf.DUMMYFUNCTION("""COMPUTED_VALUE"""),46051.0)</f>
        <v>46051</v>
      </c>
      <c r="B29" s="25" t="str">
        <f>IFERROR(__xludf.DUMMYFUNCTION("""COMPUTED_VALUE"""),"ESTAGIÁRIA MATII")</f>
        <v>ESTAGIÁRIA MATII</v>
      </c>
      <c r="C29" s="25" t="str">
        <f>IFERROR(__xludf.DUMMYFUNCTION("""COMPUTED_VALUE"""),"13:00 ÀS 19:00")</f>
        <v>13:00 ÀS 19:00</v>
      </c>
      <c r="D29" s="25">
        <f>IFERROR(__xludf.DUMMYFUNCTION("""COMPUTED_VALUE"""),1.0)</f>
        <v>1</v>
      </c>
      <c r="E29" s="25" t="str">
        <f>IFERROR(__xludf.DUMMYFUNCTION("""COMPUTED_VALUE"""),"Aprovado")</f>
        <v>Aprovado</v>
      </c>
      <c r="F29" s="22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>
      <c r="A30" s="24">
        <f>IFERROR(__xludf.DUMMYFUNCTION("""COMPUTED_VALUE"""),46058.0)</f>
        <v>46058</v>
      </c>
      <c r="B30" s="25" t="str">
        <f>IFERROR(__xludf.DUMMYFUNCTION("""COMPUTED_VALUE"""),"ESTAGIÁRIA MATII")</f>
        <v>ESTAGIÁRIA MATII</v>
      </c>
      <c r="C30" s="25" t="str">
        <f>IFERROR(__xludf.DUMMYFUNCTION("""COMPUTED_VALUE"""),"7:00 ÀS 13:00")</f>
        <v>7:00 ÀS 13:00</v>
      </c>
      <c r="D30" s="25">
        <f>IFERROR(__xludf.DUMMYFUNCTION("""COMPUTED_VALUE"""),2.0)</f>
        <v>2</v>
      </c>
      <c r="E30" s="25" t="str">
        <f>IFERROR(__xludf.DUMMYFUNCTION("""COMPUTED_VALUE"""),"Aprovado")</f>
        <v>Aprovado</v>
      </c>
      <c r="F30" s="22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>
      <c r="A31" s="24">
        <f>IFERROR(__xludf.DUMMYFUNCTION("""COMPUTED_VALUE"""),46062.0)</f>
        <v>46062</v>
      </c>
      <c r="B31" s="25" t="str">
        <f>IFERROR(__xludf.DUMMYFUNCTION("""COMPUTED_VALUE"""),"ESTAGIÁRIA PRÉ")</f>
        <v>ESTAGIÁRIA PRÉ</v>
      </c>
      <c r="C31" s="25" t="str">
        <f>IFERROR(__xludf.DUMMYFUNCTION("""COMPUTED_VALUE"""),"12:00 ÀS 18:00")</f>
        <v>12:00 ÀS 18:00</v>
      </c>
      <c r="D31" s="25">
        <f>IFERROR(__xludf.DUMMYFUNCTION("""COMPUTED_VALUE"""),2.0)</f>
        <v>2</v>
      </c>
      <c r="E31" s="25" t="str">
        <f>IFERROR(__xludf.DUMMYFUNCTION("""COMPUTED_VALUE"""),"Aprovado")</f>
        <v>Aprovado</v>
      </c>
      <c r="F31" s="22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>
      <c r="A32" s="24">
        <f>IFERROR(__xludf.DUMMYFUNCTION("""COMPUTED_VALUE"""),46080.0)</f>
        <v>46080</v>
      </c>
      <c r="B32" s="25" t="str">
        <f>IFERROR(__xludf.DUMMYFUNCTION("""COMPUTED_VALUE"""),"ESTAGIÁRIA MINI")</f>
        <v>ESTAGIÁRIA MINI</v>
      </c>
      <c r="C32" s="25" t="str">
        <f>IFERROR(__xludf.DUMMYFUNCTION("""COMPUTED_VALUE"""),"10:30 ÀS 17:30")</f>
        <v>10:30 ÀS 17:30</v>
      </c>
      <c r="D32" s="25">
        <f>IFERROR(__xludf.DUMMYFUNCTION("""COMPUTED_VALUE"""),2.0)</f>
        <v>2</v>
      </c>
      <c r="E32" s="25" t="str">
        <f>IFERROR(__xludf.DUMMYFUNCTION("""COMPUTED_VALUE"""),"Aprovado")</f>
        <v>Aprovado</v>
      </c>
      <c r="F32" s="22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>
      <c r="A33" s="24">
        <f>IFERROR(__xludf.DUMMYFUNCTION("""COMPUTED_VALUE"""),46086.0)</f>
        <v>46086</v>
      </c>
      <c r="B33" s="25" t="str">
        <f>IFERROR(__xludf.DUMMYFUNCTION("""COMPUTED_VALUE"""),"ESTAGIÁRIA JARD")</f>
        <v>ESTAGIÁRIA JARD</v>
      </c>
      <c r="C33" s="25" t="str">
        <f>IFERROR(__xludf.DUMMYFUNCTION("""COMPUTED_VALUE"""),"12:00 ÀS 18:00")</f>
        <v>12:00 ÀS 18:00</v>
      </c>
      <c r="D33" s="25">
        <f>IFERROR(__xludf.DUMMYFUNCTION("""COMPUTED_VALUE"""),3.0)</f>
        <v>3</v>
      </c>
      <c r="E33" s="25" t="str">
        <f>IFERROR(__xludf.DUMMYFUNCTION("""COMPUTED_VALUE"""),"Aprovado")</f>
        <v>Aprovado</v>
      </c>
      <c r="F33" s="22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>
      <c r="A34" s="24">
        <f>IFERROR(__xludf.DUMMYFUNCTION("""COMPUTED_VALUE"""),46101.0)</f>
        <v>46101</v>
      </c>
      <c r="B34" s="25" t="str">
        <f>IFERROR(__xludf.DUMMYFUNCTION("""COMPUTED_VALUE"""),"ESTAGIÁRIA MATII")</f>
        <v>ESTAGIÁRIA MATII</v>
      </c>
      <c r="C34" s="25" t="str">
        <f>IFERROR(__xludf.DUMMYFUNCTION("""COMPUTED_VALUE"""),"7:00 ÀS 13:00")</f>
        <v>7:00 ÀS 13:00</v>
      </c>
      <c r="D34" s="25">
        <f>IFERROR(__xludf.DUMMYFUNCTION("""COMPUTED_VALUE"""),3.0)</f>
        <v>3</v>
      </c>
      <c r="E34" s="25" t="str">
        <f>IFERROR(__xludf.DUMMYFUNCTION("""COMPUTED_VALUE"""),"Aprovado")</f>
        <v>Aprovado</v>
      </c>
      <c r="F34" s="22"/>
      <c r="G34" s="12"/>
      <c r="H34" s="1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>
      <c r="A35" s="24">
        <f>IFERROR(__xludf.DUMMYFUNCTION("""COMPUTED_VALUE"""),46119.0)</f>
        <v>46119</v>
      </c>
      <c r="B35" s="25" t="str">
        <f>IFERROR(__xludf.DUMMYFUNCTION("""COMPUTED_VALUE"""),"INSPETOR DE ALUNOS")</f>
        <v>INSPETOR DE ALUNOS</v>
      </c>
      <c r="C35" s="25" t="str">
        <f>IFERROR(__xludf.DUMMYFUNCTION("""COMPUTED_VALUE"""),"9:30 ÀS 19:30")</f>
        <v>9:30 ÀS 19:30</v>
      </c>
      <c r="D35" s="25">
        <f>IFERROR(__xludf.DUMMYFUNCTION("""COMPUTED_VALUE"""),4.0)</f>
        <v>4</v>
      </c>
      <c r="E35" s="25" t="str">
        <f>IFERROR(__xludf.DUMMYFUNCTION("""COMPUTED_VALUE"""),"Aprovado")</f>
        <v>Aprovado</v>
      </c>
      <c r="F35" s="22"/>
      <c r="G35" s="12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>
      <c r="A36" s="24">
        <f>IFERROR(__xludf.DUMMYFUNCTION("""COMPUTED_VALUE"""),46139.0)</f>
        <v>46139</v>
      </c>
      <c r="B36" s="25" t="str">
        <f>IFERROR(__xludf.DUMMYFUNCTION("""COMPUTED_VALUE"""),"INSPETOR DE ALUNOS")</f>
        <v>INSPETOR DE ALUNOS</v>
      </c>
      <c r="C36" s="25" t="str">
        <f>IFERROR(__xludf.DUMMYFUNCTION("""COMPUTED_VALUE"""),"9:00 ÀS 19:00")</f>
        <v>9:00 ÀS 19:00</v>
      </c>
      <c r="D36" s="25">
        <f>IFERROR(__xludf.DUMMYFUNCTION("""COMPUTED_VALUE"""),4.0)</f>
        <v>4</v>
      </c>
      <c r="E36" s="25" t="str">
        <f>IFERROR(__xludf.DUMMYFUNCTION("""COMPUTED_VALUE"""),"Aprovado")</f>
        <v>Aprovado</v>
      </c>
      <c r="F36" s="22"/>
      <c r="G36" s="12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>
      <c r="A37" s="24">
        <f>IFERROR(__xludf.DUMMYFUNCTION("""COMPUTED_VALUE"""),46139.0)</f>
        <v>46139</v>
      </c>
      <c r="B37" s="25" t="str">
        <f>IFERROR(__xludf.DUMMYFUNCTION("""COMPUTED_VALUE"""),"ESTAGIÁRIA JARD")</f>
        <v>ESTAGIÁRIA JARD</v>
      </c>
      <c r="C37" s="25" t="str">
        <f>IFERROR(__xludf.DUMMYFUNCTION("""COMPUTED_VALUE"""),"11:00 ÀS 18:00")</f>
        <v>11:00 ÀS 18:00</v>
      </c>
      <c r="D37" s="25">
        <f>IFERROR(__xludf.DUMMYFUNCTION("""COMPUTED_VALUE"""),4.0)</f>
        <v>4</v>
      </c>
      <c r="E37" s="25" t="str">
        <f>IFERROR(__xludf.DUMMYFUNCTION("""COMPUTED_VALUE"""),"Aprovado")</f>
        <v>Aprovado</v>
      </c>
      <c r="F37" s="22"/>
      <c r="G37" s="12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>
      <c r="A38" s="24">
        <f>IFERROR(__xludf.DUMMYFUNCTION("""COMPUTED_VALUE"""),46153.0)</f>
        <v>46153</v>
      </c>
      <c r="B38" s="25" t="str">
        <f>IFERROR(__xludf.DUMMYFUNCTION("""COMPUTED_VALUE"""),"ESTAGIÁRIA MATII")</f>
        <v>ESTAGIÁRIA MATII</v>
      </c>
      <c r="C38" s="25" t="str">
        <f>IFERROR(__xludf.DUMMYFUNCTION("""COMPUTED_VALUE"""),"7:00 ÀS 13:00")</f>
        <v>7:00 ÀS 13:00</v>
      </c>
      <c r="D38" s="25">
        <f>IFERROR(__xludf.DUMMYFUNCTION("""COMPUTED_VALUE"""),5.0)</f>
        <v>5</v>
      </c>
      <c r="E38" s="25" t="str">
        <f>IFERROR(__xludf.DUMMYFUNCTION("""COMPUTED_VALUE"""),"Aprovado")</f>
        <v>Aprovado</v>
      </c>
      <c r="F38" s="22"/>
      <c r="G38" s="12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>
      <c r="A39" s="24">
        <f>IFERROR(__xludf.DUMMYFUNCTION("""COMPUTED_VALUE"""),46181.0)</f>
        <v>46181</v>
      </c>
      <c r="B39" s="25" t="str">
        <f>IFERROR(__xludf.DUMMYFUNCTION("""COMPUTED_VALUE"""),"ESTAGIÁRIA BERÇ")</f>
        <v>ESTAGIÁRIA BERÇ</v>
      </c>
      <c r="C39" s="25" t="str">
        <f>IFERROR(__xludf.DUMMYFUNCTION("""COMPUTED_VALUE"""),"13:00 ÀS 19:00")</f>
        <v>13:00 ÀS 19:00</v>
      </c>
      <c r="D39" s="25">
        <f>IFERROR(__xludf.DUMMYFUNCTION("""COMPUTED_VALUE"""),6.0)</f>
        <v>6</v>
      </c>
      <c r="E39" s="25" t="str">
        <f>IFERROR(__xludf.DUMMYFUNCTION("""COMPUTED_VALUE"""),"Aprovado")</f>
        <v>Aprovado</v>
      </c>
      <c r="F39" s="22"/>
      <c r="G39" s="12"/>
      <c r="H39" s="1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>
      <c r="A40" s="24">
        <f>IFERROR(__xludf.DUMMYFUNCTION("""COMPUTED_VALUE"""),46181.0)</f>
        <v>46181</v>
      </c>
      <c r="B40" s="25" t="str">
        <f>IFERROR(__xludf.DUMMYFUNCTION("""COMPUTED_VALUE"""),"ESTAGIÁRIA MAT I")</f>
        <v>ESTAGIÁRIA MAT I</v>
      </c>
      <c r="C40" s="25" t="str">
        <f>IFERROR(__xludf.DUMMYFUNCTION("""COMPUTED_VALUE"""),"13:00 ÀS 19:00")</f>
        <v>13:00 ÀS 19:00</v>
      </c>
      <c r="D40" s="25">
        <f>IFERROR(__xludf.DUMMYFUNCTION("""COMPUTED_VALUE"""),6.0)</f>
        <v>6</v>
      </c>
      <c r="E40" s="25" t="str">
        <f>IFERROR(__xludf.DUMMYFUNCTION("""COMPUTED_VALUE"""),"Aprovado")</f>
        <v>Aprovado</v>
      </c>
      <c r="F40" s="22"/>
      <c r="G40" s="12"/>
      <c r="H40" s="1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24">
        <f>IFERROR(__xludf.DUMMYFUNCTION("""COMPUTED_VALUE"""),46231.0)</f>
        <v>46231</v>
      </c>
      <c r="B41" s="25" t="str">
        <f>IFERROR(__xludf.DUMMYFUNCTION("""COMPUTED_VALUE"""),"ESTAGIÁRIA MAT I")</f>
        <v>ESTAGIÁRIA MAT I</v>
      </c>
      <c r="C41" s="25" t="str">
        <f>IFERROR(__xludf.DUMMYFUNCTION("""COMPUTED_VALUE"""),"7:00 ÀS 13:00")</f>
        <v>7:00 ÀS 13:00</v>
      </c>
      <c r="D41" s="25">
        <f>IFERROR(__xludf.DUMMYFUNCTION("""COMPUTED_VALUE"""),7.0)</f>
        <v>7</v>
      </c>
      <c r="E41" s="25" t="str">
        <f>IFERROR(__xludf.DUMMYFUNCTION("""COMPUTED_VALUE"""),"Aprovado")</f>
        <v>Aprovado</v>
      </c>
      <c r="F41" s="22"/>
      <c r="G41" s="26"/>
      <c r="H41" s="26"/>
      <c r="I41" s="26"/>
      <c r="J41" s="26"/>
      <c r="K41" s="26"/>
      <c r="L41" s="13"/>
      <c r="M41" s="13"/>
      <c r="N41" s="13"/>
      <c r="O41" s="13"/>
      <c r="P41" s="13"/>
      <c r="Q41" s="13"/>
      <c r="R41" s="13"/>
      <c r="S41" s="13"/>
    </row>
    <row r="42">
      <c r="A42" s="24">
        <f>IFERROR(__xludf.DUMMYFUNCTION("""COMPUTED_VALUE"""),46231.0)</f>
        <v>46231</v>
      </c>
      <c r="B42" s="25" t="str">
        <f>IFERROR(__xludf.DUMMYFUNCTION("""COMPUTED_VALUE"""),"ESTAGIÁRIA MINI")</f>
        <v>ESTAGIÁRIA MINI</v>
      </c>
      <c r="C42" s="25" t="str">
        <f>IFERROR(__xludf.DUMMYFUNCTION("""COMPUTED_VALUE"""),"10:30 ÀS 17:30")</f>
        <v>10:30 ÀS 17:30</v>
      </c>
      <c r="D42" s="25">
        <f>IFERROR(__xludf.DUMMYFUNCTION("""COMPUTED_VALUE"""),7.0)</f>
        <v>7</v>
      </c>
      <c r="E42" s="25" t="str">
        <f>IFERROR(__xludf.DUMMYFUNCTION("""COMPUTED_VALUE"""),"Aprovado")</f>
        <v>Aprovado</v>
      </c>
      <c r="F42" s="22"/>
      <c r="G42" s="26"/>
      <c r="H42" s="26"/>
      <c r="I42" s="26"/>
      <c r="J42" s="26"/>
      <c r="K42" s="26"/>
      <c r="L42" s="13"/>
      <c r="M42" s="13"/>
      <c r="N42" s="13"/>
      <c r="O42" s="13"/>
      <c r="P42" s="13"/>
      <c r="Q42" s="13"/>
      <c r="R42" s="13"/>
      <c r="S42" s="13"/>
    </row>
    <row r="43">
      <c r="A43" s="24">
        <f>IFERROR(__xludf.DUMMYFUNCTION("""COMPUTED_VALUE"""),46251.0)</f>
        <v>46251</v>
      </c>
      <c r="B43" s="25" t="str">
        <f>IFERROR(__xludf.DUMMYFUNCTION("""COMPUTED_VALUE"""),"INSPETOR DE ALUNOS")</f>
        <v>INSPETOR DE ALUNOS</v>
      </c>
      <c r="C43" s="25" t="str">
        <f>IFERROR(__xludf.DUMMYFUNCTION("""COMPUTED_VALUE"""),"9:30 ÀS 19:30")</f>
        <v>9:30 ÀS 19:30</v>
      </c>
      <c r="D43" s="25">
        <f>IFERROR(__xludf.DUMMYFUNCTION("""COMPUTED_VALUE"""),8.0)</f>
        <v>8</v>
      </c>
      <c r="E43" s="25" t="str">
        <f>IFERROR(__xludf.DUMMYFUNCTION("""COMPUTED_VALUE"""),"Aprovado")</f>
        <v>Aprovado</v>
      </c>
      <c r="F43" s="22"/>
      <c r="G43" s="26"/>
      <c r="H43" s="26"/>
      <c r="I43" s="26"/>
      <c r="J43" s="26"/>
      <c r="K43" s="26"/>
      <c r="L43" s="13"/>
      <c r="M43" s="13"/>
      <c r="N43" s="13"/>
      <c r="O43" s="13"/>
      <c r="P43" s="13"/>
      <c r="Q43" s="13"/>
      <c r="R43" s="13"/>
      <c r="S43" s="13"/>
    </row>
    <row r="44">
      <c r="A44" s="24">
        <f>IFERROR(__xludf.DUMMYFUNCTION("""COMPUTED_VALUE"""),46258.0)</f>
        <v>46258</v>
      </c>
      <c r="B44" s="25" t="str">
        <f>IFERROR(__xludf.DUMMYFUNCTION("""COMPUTED_VALUE"""),"INSPETOR DE ALUNOS")</f>
        <v>INSPETOR DE ALUNOS</v>
      </c>
      <c r="C44" s="25" t="str">
        <f>IFERROR(__xludf.DUMMYFUNCTION("""COMPUTED_VALUE"""),"9:30 ÀS 19:30")</f>
        <v>9:30 ÀS 19:30</v>
      </c>
      <c r="D44" s="25">
        <f>IFERROR(__xludf.DUMMYFUNCTION("""COMPUTED_VALUE"""),8.0)</f>
        <v>8</v>
      </c>
      <c r="E44" s="25" t="str">
        <f>IFERROR(__xludf.DUMMYFUNCTION("""COMPUTED_VALUE"""),"Vivência")</f>
        <v>Vivência</v>
      </c>
      <c r="F44" s="22"/>
      <c r="G44" s="26"/>
      <c r="H44" s="26"/>
      <c r="I44" s="26"/>
      <c r="J44" s="26"/>
      <c r="K44" s="26"/>
      <c r="L44" s="13"/>
      <c r="M44" s="13"/>
      <c r="N44" s="13"/>
      <c r="O44" s="13"/>
      <c r="P44" s="13"/>
      <c r="Q44" s="13"/>
      <c r="R44" s="13"/>
      <c r="S44" s="13"/>
    </row>
    <row r="45">
      <c r="A45" s="25"/>
      <c r="B45" s="25"/>
      <c r="C45" s="25"/>
      <c r="D45" s="25"/>
      <c r="E45" s="25"/>
      <c r="F45" s="22"/>
      <c r="G45" s="26"/>
      <c r="H45" s="26"/>
      <c r="I45" s="26"/>
      <c r="J45" s="26"/>
      <c r="K45" s="26"/>
      <c r="L45" s="13"/>
      <c r="M45" s="13"/>
      <c r="N45" s="13"/>
      <c r="O45" s="13"/>
      <c r="P45" s="13"/>
      <c r="Q45" s="13"/>
      <c r="R45" s="13"/>
      <c r="S45" s="13"/>
    </row>
    <row r="46">
      <c r="A46" s="25"/>
      <c r="B46" s="25"/>
      <c r="C46" s="25"/>
      <c r="D46" s="25"/>
      <c r="E46" s="25"/>
      <c r="F46" s="22"/>
      <c r="G46" s="26"/>
      <c r="H46" s="26"/>
      <c r="I46" s="26"/>
      <c r="J46" s="26"/>
      <c r="K46" s="26"/>
      <c r="L46" s="13"/>
      <c r="M46" s="13"/>
      <c r="N46" s="13"/>
      <c r="O46" s="13"/>
      <c r="P46" s="13"/>
      <c r="Q46" s="13"/>
      <c r="R46" s="13"/>
      <c r="S46" s="13"/>
    </row>
    <row r="47">
      <c r="A47" s="25"/>
      <c r="B47" s="25"/>
      <c r="C47" s="25"/>
      <c r="D47" s="25"/>
      <c r="E47" s="25"/>
      <c r="F47" s="22"/>
      <c r="G47" s="26"/>
      <c r="H47" s="26"/>
      <c r="I47" s="26"/>
      <c r="J47" s="26"/>
      <c r="K47" s="26"/>
      <c r="L47" s="13"/>
      <c r="M47" s="13"/>
      <c r="N47" s="13"/>
      <c r="O47" s="13"/>
      <c r="P47" s="13"/>
      <c r="Q47" s="13"/>
      <c r="R47" s="13"/>
      <c r="S47" s="13"/>
    </row>
    <row r="48">
      <c r="A48" s="25"/>
      <c r="B48" s="25"/>
      <c r="C48" s="25"/>
      <c r="D48" s="25"/>
      <c r="E48" s="25"/>
      <c r="F48" s="22"/>
      <c r="G48" s="26"/>
      <c r="H48" s="26"/>
      <c r="I48" s="26"/>
      <c r="J48" s="26"/>
      <c r="K48" s="26"/>
      <c r="L48" s="13"/>
      <c r="M48" s="13"/>
      <c r="N48" s="13"/>
      <c r="O48" s="13"/>
      <c r="P48" s="13"/>
      <c r="Q48" s="13"/>
      <c r="R48" s="13"/>
      <c r="S48" s="13"/>
    </row>
    <row r="49">
      <c r="A49" s="25"/>
      <c r="B49" s="25"/>
      <c r="C49" s="25"/>
      <c r="D49" s="25"/>
      <c r="E49" s="25"/>
      <c r="F49" s="22"/>
      <c r="G49" s="26"/>
      <c r="H49" s="26"/>
      <c r="I49" s="26"/>
      <c r="J49" s="26"/>
      <c r="K49" s="26"/>
      <c r="L49" s="13"/>
      <c r="M49" s="13"/>
      <c r="N49" s="13"/>
      <c r="O49" s="13"/>
      <c r="P49" s="13"/>
      <c r="Q49" s="13"/>
      <c r="R49" s="13"/>
      <c r="S49" s="13"/>
    </row>
    <row r="50">
      <c r="A50" s="25"/>
      <c r="B50" s="25"/>
      <c r="C50" s="25"/>
      <c r="D50" s="25"/>
      <c r="E50" s="25"/>
      <c r="F50" s="22"/>
      <c r="G50" s="26"/>
      <c r="H50" s="26"/>
      <c r="I50" s="26"/>
      <c r="J50" s="26"/>
      <c r="K50" s="26"/>
      <c r="L50" s="13"/>
      <c r="M50" s="13"/>
    </row>
    <row r="51">
      <c r="A51" s="25"/>
      <c r="B51" s="25"/>
      <c r="C51" s="25"/>
      <c r="D51" s="25"/>
      <c r="E51" s="25"/>
      <c r="F51" s="22"/>
      <c r="G51" s="26"/>
      <c r="H51" s="26"/>
      <c r="I51" s="26"/>
      <c r="J51" s="26"/>
      <c r="K51" s="26"/>
      <c r="L51" s="13"/>
      <c r="M51" s="13"/>
    </row>
    <row r="52">
      <c r="A52" s="25"/>
      <c r="B52" s="25"/>
      <c r="C52" s="25"/>
      <c r="D52" s="25"/>
      <c r="E52" s="25"/>
      <c r="F52" s="22"/>
      <c r="G52" s="26"/>
      <c r="H52" s="26"/>
      <c r="I52" s="26"/>
      <c r="J52" s="26"/>
      <c r="K52" s="26"/>
      <c r="L52" s="13"/>
      <c r="M52" s="13"/>
    </row>
    <row r="53">
      <c r="A53" s="25"/>
      <c r="B53" s="25"/>
      <c r="C53" s="25"/>
      <c r="D53" s="25"/>
      <c r="E53" s="25"/>
      <c r="F53" s="22"/>
      <c r="G53" s="26"/>
      <c r="H53" s="26"/>
      <c r="I53" s="26"/>
      <c r="J53" s="26"/>
      <c r="K53" s="26"/>
      <c r="L53" s="13"/>
      <c r="M53" s="13"/>
    </row>
    <row r="54">
      <c r="A54" s="25"/>
      <c r="B54" s="25"/>
      <c r="C54" s="25"/>
      <c r="D54" s="25"/>
      <c r="E54" s="25"/>
      <c r="F54" s="22"/>
      <c r="G54" s="26"/>
      <c r="H54" s="26"/>
      <c r="I54" s="26"/>
      <c r="J54" s="26"/>
      <c r="K54" s="26"/>
      <c r="L54" s="13"/>
      <c r="M54" s="13"/>
    </row>
    <row r="55">
      <c r="A55" s="25"/>
      <c r="B55" s="25"/>
      <c r="C55" s="25"/>
      <c r="D55" s="25"/>
      <c r="E55" s="25"/>
      <c r="F55" s="22"/>
      <c r="G55" s="26"/>
      <c r="H55" s="26"/>
      <c r="I55" s="26"/>
      <c r="J55" s="26"/>
      <c r="K55" s="26"/>
      <c r="L55" s="13"/>
      <c r="M55" s="13"/>
    </row>
    <row r="56">
      <c r="A56" s="25"/>
      <c r="B56" s="25"/>
      <c r="C56" s="25"/>
      <c r="D56" s="25"/>
      <c r="E56" s="25"/>
      <c r="F56" s="22"/>
      <c r="G56" s="26"/>
      <c r="H56" s="26"/>
      <c r="I56" s="26"/>
      <c r="J56" s="26"/>
      <c r="K56" s="26"/>
      <c r="L56" s="13"/>
      <c r="M56" s="13"/>
    </row>
    <row r="57">
      <c r="A57" s="25"/>
      <c r="B57" s="25"/>
      <c r="C57" s="25"/>
      <c r="D57" s="25"/>
      <c r="E57" s="25"/>
      <c r="F57" s="22"/>
      <c r="G57" s="26"/>
      <c r="H57" s="26"/>
      <c r="I57" s="26"/>
      <c r="J57" s="26"/>
      <c r="K57" s="26"/>
      <c r="L57" s="13"/>
      <c r="M57" s="13"/>
    </row>
    <row r="58">
      <c r="A58" s="25"/>
      <c r="B58" s="25"/>
      <c r="C58" s="25"/>
      <c r="D58" s="25"/>
      <c r="E58" s="25"/>
      <c r="F58" s="22"/>
      <c r="G58" s="26"/>
      <c r="H58" s="26"/>
      <c r="I58" s="26"/>
      <c r="J58" s="26"/>
      <c r="K58" s="26"/>
      <c r="L58" s="13"/>
      <c r="M58" s="13"/>
    </row>
    <row r="59">
      <c r="A59" s="25"/>
      <c r="B59" s="25"/>
      <c r="C59" s="25"/>
      <c r="D59" s="25"/>
      <c r="E59" s="25"/>
      <c r="F59" s="22"/>
      <c r="G59" s="26"/>
      <c r="H59" s="26"/>
      <c r="I59" s="26"/>
      <c r="J59" s="26"/>
      <c r="K59" s="26"/>
      <c r="L59" s="13"/>
      <c r="M59" s="13"/>
    </row>
    <row r="60">
      <c r="A60" s="25"/>
      <c r="B60" s="25"/>
      <c r="C60" s="25"/>
      <c r="D60" s="25"/>
      <c r="E60" s="25"/>
      <c r="F60" s="22"/>
      <c r="G60" s="26"/>
      <c r="H60" s="26"/>
      <c r="I60" s="26"/>
      <c r="J60" s="26"/>
      <c r="K60" s="26"/>
      <c r="L60" s="13"/>
      <c r="M60" s="13"/>
    </row>
    <row r="61">
      <c r="A61" s="25"/>
      <c r="B61" s="25"/>
      <c r="C61" s="25"/>
      <c r="D61" s="25"/>
      <c r="E61" s="25"/>
      <c r="F61" s="22"/>
      <c r="G61" s="26"/>
      <c r="H61" s="26"/>
      <c r="I61" s="26"/>
      <c r="J61" s="26"/>
      <c r="K61" s="26"/>
      <c r="L61" s="13"/>
      <c r="M61" s="13"/>
    </row>
    <row r="62">
      <c r="A62" s="25"/>
      <c r="B62" s="25"/>
      <c r="C62" s="25"/>
      <c r="D62" s="25"/>
      <c r="E62" s="25"/>
      <c r="F62" s="22"/>
      <c r="G62" s="26"/>
      <c r="H62" s="26"/>
      <c r="I62" s="26"/>
      <c r="J62" s="26"/>
      <c r="K62" s="26"/>
      <c r="L62" s="13"/>
      <c r="M62" s="13"/>
    </row>
    <row r="63">
      <c r="A63" s="25"/>
      <c r="B63" s="25"/>
      <c r="C63" s="25"/>
      <c r="D63" s="25"/>
      <c r="E63" s="25"/>
      <c r="F63" s="22"/>
      <c r="G63" s="26"/>
      <c r="H63" s="26"/>
      <c r="I63" s="26"/>
      <c r="J63" s="26"/>
      <c r="K63" s="26"/>
      <c r="L63" s="13"/>
      <c r="M63" s="13"/>
    </row>
    <row r="64">
      <c r="A64" s="25"/>
      <c r="B64" s="25"/>
      <c r="C64" s="25"/>
      <c r="D64" s="25"/>
      <c r="E64" s="25"/>
      <c r="F64" s="22"/>
      <c r="G64" s="26"/>
      <c r="H64" s="26"/>
      <c r="I64" s="26"/>
      <c r="J64" s="26"/>
      <c r="K64" s="26"/>
      <c r="L64" s="13"/>
      <c r="M64" s="13"/>
    </row>
    <row r="65">
      <c r="A65" s="25"/>
      <c r="B65" s="25"/>
      <c r="C65" s="25"/>
      <c r="D65" s="25"/>
      <c r="E65" s="25"/>
      <c r="F65" s="22"/>
      <c r="G65" s="26"/>
      <c r="H65" s="26"/>
      <c r="I65" s="26"/>
      <c r="J65" s="26"/>
      <c r="K65" s="26"/>
      <c r="L65" s="13"/>
      <c r="M65" s="13"/>
    </row>
    <row r="66">
      <c r="A66" s="25"/>
      <c r="B66" s="25"/>
      <c r="C66" s="25"/>
      <c r="D66" s="25"/>
      <c r="E66" s="25"/>
      <c r="F66" s="22"/>
      <c r="G66" s="26"/>
      <c r="H66" s="26"/>
      <c r="I66" s="26"/>
      <c r="J66" s="26"/>
      <c r="K66" s="26"/>
      <c r="L66" s="13"/>
      <c r="M66" s="13"/>
    </row>
    <row r="67">
      <c r="A67" s="25"/>
      <c r="B67" s="25"/>
      <c r="C67" s="25"/>
      <c r="D67" s="25"/>
      <c r="E67" s="25"/>
      <c r="F67" s="22"/>
      <c r="G67" s="26"/>
      <c r="H67" s="26"/>
      <c r="I67" s="26"/>
      <c r="J67" s="26"/>
      <c r="K67" s="26"/>
      <c r="L67" s="13"/>
      <c r="M67" s="13"/>
    </row>
    <row r="68">
      <c r="A68" s="22"/>
      <c r="B68" s="22"/>
      <c r="C68" s="22"/>
      <c r="D68" s="22"/>
      <c r="E68" s="22"/>
      <c r="F68" s="22"/>
      <c r="G68" s="26"/>
      <c r="H68" s="26"/>
      <c r="I68" s="26"/>
      <c r="J68" s="26"/>
      <c r="K68" s="26"/>
      <c r="L68" s="13"/>
      <c r="M68" s="13"/>
    </row>
    <row r="69">
      <c r="A69" s="22"/>
      <c r="B69" s="22"/>
      <c r="C69" s="22"/>
      <c r="D69" s="22"/>
      <c r="E69" s="22"/>
      <c r="F69" s="22"/>
      <c r="G69" s="26"/>
      <c r="H69" s="26"/>
      <c r="I69" s="26"/>
      <c r="J69" s="26"/>
      <c r="K69" s="26"/>
      <c r="L69" s="13"/>
      <c r="M69" s="13"/>
    </row>
    <row r="70">
      <c r="A70" s="22"/>
      <c r="B70" s="22"/>
      <c r="C70" s="22"/>
      <c r="D70" s="22"/>
      <c r="E70" s="22"/>
      <c r="F70" s="22"/>
      <c r="G70" s="26"/>
      <c r="H70" s="26"/>
      <c r="I70" s="26"/>
      <c r="J70" s="26"/>
      <c r="K70" s="26"/>
      <c r="L70" s="13"/>
      <c r="M70" s="13"/>
    </row>
    <row r="71">
      <c r="A71" s="22"/>
      <c r="B71" s="22"/>
      <c r="C71" s="22"/>
      <c r="D71" s="22"/>
      <c r="E71" s="22"/>
      <c r="F71" s="22"/>
      <c r="G71" s="26"/>
      <c r="H71" s="26"/>
      <c r="I71" s="26"/>
      <c r="J71" s="26"/>
      <c r="K71" s="26"/>
      <c r="L71" s="13"/>
      <c r="M71" s="13"/>
    </row>
    <row r="72">
      <c r="A72" s="22"/>
      <c r="B72" s="22"/>
      <c r="C72" s="22"/>
      <c r="D72" s="22"/>
      <c r="E72" s="22"/>
      <c r="F72" s="22"/>
      <c r="G72" s="26"/>
      <c r="H72" s="26"/>
      <c r="I72" s="26"/>
      <c r="J72" s="26"/>
      <c r="K72" s="26"/>
      <c r="L72" s="13"/>
      <c r="M72" s="13"/>
    </row>
    <row r="73">
      <c r="A73" s="22"/>
      <c r="B73" s="22"/>
      <c r="C73" s="22"/>
      <c r="D73" s="22"/>
      <c r="E73" s="22"/>
      <c r="F73" s="22"/>
      <c r="G73" s="26"/>
      <c r="H73" s="26"/>
      <c r="I73" s="26"/>
      <c r="J73" s="26"/>
      <c r="K73" s="26"/>
      <c r="L73" s="13"/>
      <c r="M73" s="13"/>
    </row>
    <row r="74">
      <c r="A74" s="22"/>
      <c r="B74" s="22"/>
      <c r="C74" s="22"/>
      <c r="D74" s="22"/>
      <c r="E74" s="22"/>
      <c r="F74" s="22"/>
      <c r="G74" s="26"/>
      <c r="H74" s="26"/>
      <c r="I74" s="26"/>
      <c r="J74" s="26"/>
      <c r="K74" s="26"/>
      <c r="L74" s="13"/>
      <c r="M74" s="13"/>
    </row>
    <row r="75">
      <c r="A75" s="22"/>
      <c r="B75" s="22"/>
      <c r="C75" s="22"/>
      <c r="D75" s="22"/>
      <c r="E75" s="22"/>
      <c r="F75" s="22"/>
      <c r="G75" s="26"/>
      <c r="H75" s="26"/>
      <c r="I75" s="26"/>
      <c r="J75" s="26"/>
      <c r="K75" s="26"/>
      <c r="L75" s="13"/>
      <c r="M75" s="13"/>
    </row>
    <row r="76">
      <c r="A76" s="22"/>
      <c r="B76" s="22"/>
      <c r="C76" s="22"/>
      <c r="D76" s="22"/>
      <c r="E76" s="22"/>
      <c r="F76" s="22"/>
      <c r="G76" s="26"/>
      <c r="H76" s="26"/>
      <c r="I76" s="26"/>
      <c r="J76" s="26"/>
      <c r="K76" s="26"/>
      <c r="L76" s="13"/>
      <c r="M76" s="13"/>
    </row>
    <row r="77">
      <c r="A77" s="22"/>
      <c r="B77" s="22"/>
      <c r="C77" s="22"/>
      <c r="D77" s="22"/>
      <c r="E77" s="22"/>
      <c r="F77" s="22"/>
      <c r="G77" s="26"/>
      <c r="H77" s="26"/>
      <c r="I77" s="26"/>
      <c r="J77" s="26"/>
      <c r="K77" s="26"/>
      <c r="L77" s="13"/>
      <c r="M77" s="13"/>
    </row>
    <row r="78">
      <c r="A78" s="22"/>
      <c r="B78" s="22"/>
      <c r="C78" s="22"/>
      <c r="D78" s="22"/>
      <c r="E78" s="22"/>
      <c r="F78" s="22"/>
      <c r="G78" s="26"/>
      <c r="H78" s="26"/>
      <c r="I78" s="26"/>
      <c r="J78" s="26"/>
      <c r="K78" s="26"/>
      <c r="L78" s="13"/>
      <c r="M78" s="13"/>
    </row>
    <row r="79">
      <c r="A79" s="22"/>
      <c r="B79" s="22"/>
      <c r="C79" s="22"/>
      <c r="D79" s="22"/>
      <c r="E79" s="22"/>
      <c r="F79" s="22"/>
      <c r="G79" s="26"/>
      <c r="H79" s="26"/>
      <c r="I79" s="26"/>
      <c r="J79" s="26"/>
      <c r="K79" s="26"/>
      <c r="L79" s="13"/>
      <c r="M79" s="13"/>
    </row>
    <row r="80">
      <c r="A80" s="22"/>
      <c r="B80" s="22"/>
      <c r="C80" s="22"/>
      <c r="D80" s="22"/>
      <c r="E80" s="22"/>
      <c r="F80" s="22"/>
      <c r="G80" s="26"/>
      <c r="H80" s="26"/>
      <c r="I80" s="26"/>
      <c r="J80" s="26"/>
      <c r="K80" s="26"/>
      <c r="L80" s="13"/>
      <c r="M80" s="13"/>
    </row>
    <row r="81">
      <c r="A81" s="22"/>
      <c r="B81" s="22"/>
      <c r="C81" s="22"/>
      <c r="D81" s="22"/>
      <c r="E81" s="22"/>
      <c r="F81" s="22"/>
      <c r="G81" s="26"/>
      <c r="H81" s="26"/>
      <c r="I81" s="26"/>
      <c r="J81" s="26"/>
      <c r="K81" s="26"/>
      <c r="L81" s="13"/>
      <c r="M81" s="13"/>
    </row>
    <row r="82">
      <c r="A82" s="22"/>
      <c r="B82" s="22"/>
      <c r="C82" s="22"/>
      <c r="D82" s="22"/>
      <c r="E82" s="22"/>
      <c r="F82" s="22"/>
      <c r="G82" s="26"/>
      <c r="H82" s="26"/>
      <c r="I82" s="26"/>
      <c r="J82" s="26"/>
      <c r="K82" s="26"/>
      <c r="L82" s="13"/>
      <c r="M82" s="13"/>
    </row>
    <row r="83">
      <c r="A83" s="22"/>
      <c r="B83" s="22"/>
      <c r="C83" s="22"/>
      <c r="D83" s="22"/>
      <c r="E83" s="22"/>
      <c r="F83" s="22"/>
      <c r="G83" s="26"/>
      <c r="H83" s="26"/>
      <c r="I83" s="26"/>
      <c r="J83" s="26"/>
      <c r="K83" s="26"/>
      <c r="L83" s="13"/>
      <c r="M83" s="13"/>
    </row>
    <row r="84">
      <c r="A84" s="22"/>
      <c r="B84" s="22"/>
      <c r="C84" s="22"/>
      <c r="D84" s="22"/>
      <c r="E84" s="22"/>
      <c r="F84" s="22"/>
      <c r="G84" s="26"/>
      <c r="H84" s="26"/>
      <c r="I84" s="26"/>
      <c r="J84" s="26"/>
      <c r="K84" s="26"/>
      <c r="L84" s="13"/>
      <c r="M84" s="13"/>
    </row>
    <row r="85">
      <c r="A85" s="22"/>
      <c r="B85" s="22"/>
      <c r="C85" s="22"/>
      <c r="D85" s="22"/>
      <c r="E85" s="22"/>
      <c r="F85" s="22"/>
      <c r="G85" s="26"/>
      <c r="H85" s="26"/>
      <c r="I85" s="26"/>
      <c r="J85" s="26"/>
      <c r="K85" s="26"/>
      <c r="L85" s="13"/>
      <c r="M85" s="13"/>
    </row>
    <row r="86">
      <c r="A86" s="22"/>
      <c r="B86" s="22"/>
      <c r="C86" s="22"/>
      <c r="D86" s="22"/>
      <c r="E86" s="22"/>
      <c r="F86" s="22"/>
      <c r="G86" s="26"/>
      <c r="H86" s="26"/>
      <c r="I86" s="26"/>
      <c r="J86" s="26"/>
      <c r="K86" s="26"/>
      <c r="L86" s="13"/>
      <c r="M86" s="13"/>
    </row>
    <row r="87">
      <c r="A87" s="22"/>
      <c r="B87" s="22"/>
      <c r="C87" s="22"/>
      <c r="D87" s="22"/>
      <c r="E87" s="22"/>
      <c r="F87" s="22"/>
      <c r="G87" s="26"/>
      <c r="H87" s="26"/>
      <c r="I87" s="26"/>
      <c r="J87" s="26"/>
      <c r="K87" s="26"/>
      <c r="L87" s="13"/>
      <c r="M87" s="13"/>
    </row>
    <row r="88">
      <c r="A88" s="22"/>
      <c r="B88" s="22"/>
      <c r="C88" s="22"/>
      <c r="D88" s="22"/>
      <c r="E88" s="22"/>
      <c r="F88" s="22"/>
      <c r="G88" s="26"/>
      <c r="H88" s="26"/>
      <c r="I88" s="26"/>
      <c r="J88" s="26"/>
      <c r="K88" s="26"/>
      <c r="L88" s="13"/>
      <c r="M88" s="13"/>
    </row>
    <row r="89">
      <c r="A89" s="22"/>
      <c r="B89" s="22"/>
      <c r="C89" s="22"/>
      <c r="D89" s="22"/>
      <c r="E89" s="22"/>
      <c r="F89" s="22"/>
      <c r="G89" s="26"/>
      <c r="H89" s="26"/>
      <c r="I89" s="26"/>
      <c r="J89" s="26"/>
      <c r="K89" s="26"/>
      <c r="L89" s="13"/>
      <c r="M89" s="13"/>
    </row>
    <row r="90">
      <c r="A90" s="22"/>
      <c r="B90" s="22"/>
      <c r="C90" s="22"/>
      <c r="D90" s="22"/>
      <c r="E90" s="22"/>
      <c r="F90" s="22"/>
      <c r="G90" s="26"/>
      <c r="H90" s="26"/>
      <c r="I90" s="26"/>
      <c r="J90" s="26"/>
      <c r="K90" s="26"/>
      <c r="L90" s="13"/>
      <c r="M90" s="13"/>
    </row>
    <row r="91">
      <c r="A91" s="22"/>
      <c r="B91" s="22"/>
      <c r="C91" s="22"/>
      <c r="D91" s="22"/>
      <c r="E91" s="22"/>
      <c r="F91" s="22"/>
      <c r="G91" s="26"/>
      <c r="H91" s="26"/>
      <c r="I91" s="26"/>
      <c r="J91" s="26"/>
      <c r="K91" s="26"/>
      <c r="L91" s="13"/>
      <c r="M91" s="13"/>
    </row>
    <row r="92">
      <c r="A92" s="22"/>
      <c r="B92" s="22"/>
      <c r="C92" s="22"/>
      <c r="D92" s="22"/>
      <c r="E92" s="22"/>
      <c r="F92" s="22"/>
      <c r="G92" s="26"/>
      <c r="H92" s="26"/>
      <c r="I92" s="26"/>
      <c r="J92" s="26"/>
      <c r="K92" s="26"/>
      <c r="L92" s="13"/>
      <c r="M92" s="13"/>
    </row>
    <row r="93">
      <c r="A93" s="22"/>
      <c r="B93" s="22"/>
      <c r="C93" s="22"/>
      <c r="D93" s="22"/>
      <c r="E93" s="22"/>
      <c r="F93" s="22"/>
      <c r="G93" s="26"/>
      <c r="H93" s="26"/>
      <c r="I93" s="26"/>
      <c r="J93" s="26"/>
      <c r="K93" s="26"/>
      <c r="L93" s="13"/>
      <c r="M93" s="13"/>
    </row>
    <row r="94">
      <c r="A94" s="22"/>
      <c r="B94" s="22"/>
      <c r="C94" s="22"/>
      <c r="D94" s="22"/>
      <c r="E94" s="22"/>
      <c r="F94" s="22"/>
      <c r="G94" s="26"/>
      <c r="H94" s="26"/>
      <c r="I94" s="26"/>
      <c r="J94" s="26"/>
      <c r="K94" s="26"/>
      <c r="L94" s="13"/>
      <c r="M94" s="13"/>
    </row>
    <row r="95">
      <c r="A95" s="22"/>
      <c r="B95" s="22"/>
      <c r="C95" s="22"/>
      <c r="D95" s="22"/>
      <c r="E95" s="22"/>
      <c r="F95" s="22"/>
      <c r="G95" s="26"/>
      <c r="H95" s="26"/>
      <c r="I95" s="26"/>
      <c r="J95" s="26"/>
      <c r="K95" s="26"/>
      <c r="L95" s="13"/>
      <c r="M95" s="13"/>
    </row>
    <row r="96">
      <c r="A96" s="22"/>
      <c r="B96" s="22"/>
      <c r="C96" s="22"/>
      <c r="D96" s="22"/>
      <c r="E96" s="22"/>
      <c r="F96" s="22"/>
      <c r="G96" s="26"/>
      <c r="H96" s="26"/>
      <c r="I96" s="26"/>
      <c r="J96" s="26"/>
      <c r="K96" s="26"/>
      <c r="L96" s="13"/>
      <c r="M96" s="13"/>
    </row>
    <row r="97">
      <c r="A97" s="22"/>
      <c r="B97" s="22"/>
      <c r="C97" s="22"/>
      <c r="D97" s="22"/>
      <c r="E97" s="22"/>
      <c r="F97" s="22"/>
      <c r="G97" s="26"/>
      <c r="H97" s="26"/>
      <c r="I97" s="26"/>
      <c r="J97" s="26"/>
      <c r="K97" s="26"/>
      <c r="L97" s="13"/>
      <c r="M97" s="13"/>
    </row>
    <row r="98">
      <c r="A98" s="22"/>
      <c r="B98" s="22"/>
      <c r="C98" s="22"/>
      <c r="D98" s="22"/>
      <c r="E98" s="22"/>
      <c r="F98" s="22"/>
      <c r="G98" s="26"/>
      <c r="H98" s="26"/>
      <c r="I98" s="26"/>
      <c r="J98" s="26"/>
      <c r="K98" s="26"/>
      <c r="L98" s="13"/>
      <c r="M98" s="13"/>
    </row>
    <row r="99">
      <c r="A99" s="22"/>
      <c r="B99" s="22"/>
      <c r="C99" s="22"/>
      <c r="D99" s="22"/>
      <c r="E99" s="22"/>
      <c r="F99" s="22"/>
      <c r="G99" s="26"/>
      <c r="H99" s="26"/>
      <c r="I99" s="26"/>
      <c r="J99" s="26"/>
      <c r="K99" s="26"/>
      <c r="L99" s="13"/>
      <c r="M99" s="13"/>
    </row>
    <row r="100">
      <c r="A100" s="22"/>
      <c r="B100" s="22"/>
      <c r="C100" s="22"/>
      <c r="D100" s="22"/>
      <c r="E100" s="22"/>
      <c r="F100" s="22"/>
      <c r="G100" s="26"/>
      <c r="H100" s="26"/>
      <c r="I100" s="26"/>
      <c r="J100" s="26"/>
      <c r="K100" s="26"/>
      <c r="L100" s="13"/>
      <c r="M100" s="13"/>
    </row>
    <row r="101">
      <c r="A101" s="22"/>
      <c r="B101" s="22"/>
      <c r="C101" s="22"/>
      <c r="D101" s="22"/>
      <c r="E101" s="22"/>
      <c r="F101" s="22"/>
      <c r="G101" s="26"/>
      <c r="H101" s="26"/>
      <c r="I101" s="26"/>
      <c r="J101" s="26"/>
      <c r="K101" s="26"/>
      <c r="L101" s="13"/>
      <c r="M101" s="13"/>
    </row>
    <row r="102">
      <c r="A102" s="22"/>
      <c r="B102" s="22"/>
      <c r="C102" s="22"/>
      <c r="D102" s="22"/>
      <c r="E102" s="22"/>
      <c r="F102" s="22"/>
      <c r="G102" s="26"/>
      <c r="H102" s="26"/>
      <c r="I102" s="26"/>
      <c r="J102" s="26"/>
      <c r="K102" s="26"/>
      <c r="L102" s="13"/>
      <c r="M102" s="13"/>
    </row>
    <row r="103">
      <c r="A103" s="22"/>
      <c r="B103" s="22"/>
      <c r="C103" s="22"/>
      <c r="D103" s="22"/>
      <c r="E103" s="22"/>
      <c r="F103" s="22"/>
      <c r="G103" s="26"/>
      <c r="H103" s="26"/>
      <c r="I103" s="26"/>
      <c r="J103" s="26"/>
      <c r="K103" s="26"/>
      <c r="L103" s="13"/>
      <c r="M103" s="13"/>
    </row>
    <row r="104">
      <c r="A104" s="22"/>
      <c r="B104" s="22"/>
      <c r="C104" s="22"/>
      <c r="D104" s="22"/>
      <c r="E104" s="22"/>
      <c r="F104" s="22"/>
      <c r="G104" s="26"/>
      <c r="H104" s="26"/>
      <c r="I104" s="26"/>
      <c r="J104" s="26"/>
      <c r="K104" s="26"/>
      <c r="L104" s="13"/>
      <c r="M104" s="13"/>
    </row>
    <row r="105">
      <c r="A105" s="22"/>
      <c r="B105" s="22"/>
      <c r="C105" s="22"/>
      <c r="D105" s="22"/>
      <c r="E105" s="22"/>
      <c r="F105" s="22"/>
      <c r="G105" s="26"/>
      <c r="H105" s="26"/>
      <c r="I105" s="26"/>
      <c r="J105" s="26"/>
      <c r="K105" s="26"/>
      <c r="L105" s="13"/>
      <c r="M105" s="13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</sheetData>
  <mergeCells count="1">
    <mergeCell ref="H2:I2"/>
  </mergeCells>
  <conditionalFormatting sqref="A1:G2 H23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1" t="s">
        <v>7</v>
      </c>
      <c r="B2" s="3">
        <v>2.0</v>
      </c>
      <c r="C2" s="3">
        <v>3.0</v>
      </c>
      <c r="D2" s="3">
        <v>2.0</v>
      </c>
      <c r="E2" s="5">
        <v>0.6666666666666666</v>
      </c>
      <c r="F2" s="3">
        <v>1.5</v>
      </c>
    </row>
    <row r="3">
      <c r="A3" s="1" t="s">
        <v>8</v>
      </c>
      <c r="B3" s="3">
        <v>3.0</v>
      </c>
      <c r="C3" s="3">
        <v>5.0</v>
      </c>
      <c r="D3" s="3">
        <v>3.0</v>
      </c>
      <c r="E3" s="5">
        <v>0.6</v>
      </c>
      <c r="F3" s="3">
        <v>1.6666666666666667</v>
      </c>
    </row>
    <row r="4">
      <c r="A4" s="1" t="s">
        <v>9</v>
      </c>
      <c r="B4" s="3">
        <v>3.0</v>
      </c>
      <c r="C4" s="3">
        <v>5.0</v>
      </c>
      <c r="D4" s="3">
        <v>3.0</v>
      </c>
      <c r="E4" s="5">
        <v>0.6</v>
      </c>
      <c r="F4" s="3">
        <v>1.6666666666666667</v>
      </c>
    </row>
    <row r="5">
      <c r="A5" s="1" t="s">
        <v>11</v>
      </c>
      <c r="B5" s="3">
        <v>4.0</v>
      </c>
      <c r="C5" s="3">
        <v>5.0</v>
      </c>
      <c r="D5" s="3">
        <v>4.0</v>
      </c>
      <c r="E5" s="5">
        <v>0.8</v>
      </c>
      <c r="F5" s="3">
        <v>1.25</v>
      </c>
    </row>
    <row r="6">
      <c r="A6" s="1" t="s">
        <v>14</v>
      </c>
      <c r="B6" s="3">
        <v>2.0</v>
      </c>
      <c r="C6" s="3">
        <v>4.0</v>
      </c>
      <c r="D6" s="3">
        <v>2.0</v>
      </c>
      <c r="E6" s="5">
        <v>0.5</v>
      </c>
      <c r="F6" s="3">
        <v>2.0</v>
      </c>
    </row>
    <row r="7">
      <c r="A7" s="1" t="s">
        <v>15</v>
      </c>
      <c r="B7" s="3">
        <v>1.0</v>
      </c>
      <c r="C7" s="3">
        <v>2.0</v>
      </c>
      <c r="D7" s="3">
        <v>1.0</v>
      </c>
      <c r="E7" s="5">
        <v>0.5</v>
      </c>
      <c r="F7" s="3">
        <v>2.0</v>
      </c>
    </row>
    <row r="8">
      <c r="A8" s="1" t="s">
        <v>10</v>
      </c>
      <c r="B8" s="3">
        <v>5.0</v>
      </c>
      <c r="C8" s="3">
        <v>6.0</v>
      </c>
      <c r="D8" s="3">
        <v>4.0</v>
      </c>
      <c r="E8" s="5">
        <v>0.6666666666666666</v>
      </c>
      <c r="F8" s="3">
        <v>1.2</v>
      </c>
    </row>
    <row r="9">
      <c r="A9" s="1"/>
      <c r="B9" s="3"/>
      <c r="C9" s="3"/>
      <c r="D9" s="3"/>
      <c r="E9" s="5"/>
      <c r="F9" s="3"/>
    </row>
    <row r="14">
      <c r="A14" s="7"/>
    </row>
    <row r="15">
      <c r="A15" s="7"/>
    </row>
  </sheetData>
  <drawing r:id="rId1"/>
</worksheet>
</file>